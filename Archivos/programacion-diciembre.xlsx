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xr:revisionPtr revIDLastSave="0" documentId="13_ncr:1000001_{97E0C39E-E643-5245-AF71-B6A84E2831C2}" xr6:coauthVersionLast="47" xr6:coauthVersionMax="47" xr10:uidLastSave="{00000000-0000-0000-0000-000000000000}"/>
  <bookViews>
    <workbookView xWindow="135" yWindow="780" windowWidth="10950" windowHeight="9255" tabRatio="607" xr2:uid="{00000000-000D-0000-FFFF-FFFF00000000}"/>
  </bookViews>
  <sheets>
    <sheet name="Febrero" sheetId="6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5" i="64" l="1"/>
  <c r="R43" i="64"/>
  <c r="T43" i="64"/>
  <c r="T30" i="64"/>
  <c r="Q30" i="64"/>
  <c r="T29" i="64"/>
  <c r="Q29" i="64"/>
  <c r="T28" i="64"/>
  <c r="Q28" i="64"/>
  <c r="T27" i="64"/>
  <c r="Q27" i="64"/>
  <c r="T26" i="64"/>
  <c r="Q26" i="64"/>
  <c r="T25" i="64"/>
  <c r="Q25" i="64"/>
  <c r="T24" i="64"/>
  <c r="Q24" i="64"/>
  <c r="E24" i="64"/>
  <c r="T23" i="64"/>
  <c r="Q23" i="64"/>
  <c r="T22" i="64"/>
  <c r="Q22" i="64"/>
  <c r="T21" i="64"/>
  <c r="Q21" i="64"/>
  <c r="T20" i="64"/>
  <c r="Q20" i="64"/>
  <c r="E20" i="64"/>
  <c r="T19" i="64"/>
  <c r="Q19" i="64"/>
  <c r="E19" i="64"/>
  <c r="E18" i="64"/>
  <c r="E16" i="64"/>
  <c r="E15" i="64"/>
  <c r="E14" i="64"/>
  <c r="E13" i="64"/>
  <c r="E11" i="64"/>
  <c r="E10" i="64"/>
  <c r="E9" i="64"/>
</calcChain>
</file>

<file path=xl/sharedStrings.xml><?xml version="1.0" encoding="utf-8"?>
<sst xmlns="http://schemas.openxmlformats.org/spreadsheetml/2006/main" count="94" uniqueCount="60">
  <si>
    <t>Horario</t>
  </si>
  <si>
    <t>V. Total</t>
  </si>
  <si>
    <t>PROGRAMACION REPRISE</t>
  </si>
  <si>
    <t>Dias</t>
  </si>
  <si>
    <t>Valor</t>
  </si>
  <si>
    <t xml:space="preserve"> </t>
  </si>
  <si>
    <t>GAMANOTICIAS ESTELAR</t>
  </si>
  <si>
    <t>ENCANTO DE JAPON</t>
  </si>
  <si>
    <t xml:space="preserve">LOS PROTAGONISTAS </t>
  </si>
  <si>
    <t>MEMORIAS</t>
  </si>
  <si>
    <t>EL REPORTERO DW</t>
  </si>
  <si>
    <t>VIRGENCITAS ECUADOR</t>
  </si>
  <si>
    <t>PURO TEATRO</t>
  </si>
  <si>
    <t>GAMANOTICIAS EMISION CENTRAL</t>
  </si>
  <si>
    <t>NCC CIENCIA TECONOLOGIA Y CULTURA</t>
  </si>
  <si>
    <t>NCC SALUD</t>
  </si>
  <si>
    <t>NCC CLIMATICO</t>
  </si>
  <si>
    <t>LOS PROTAGONISTAS ( R )</t>
  </si>
  <si>
    <t>RUTA LATITUD</t>
  </si>
  <si>
    <t>FUERZA LATINA DW</t>
  </si>
  <si>
    <t>RPM – Revoluciones por minuto RR</t>
  </si>
  <si>
    <t>CULTURA 21</t>
  </si>
  <si>
    <t>NCC IBEORAMERICA EN ORBITA</t>
  </si>
  <si>
    <t>RPM</t>
  </si>
  <si>
    <t>OUTLET TV</t>
  </si>
  <si>
    <t xml:space="preserve">TV MEDICA </t>
  </si>
  <si>
    <t>EL ACTUARIO</t>
  </si>
  <si>
    <t>VERDADES O MENTIRAS</t>
  </si>
  <si>
    <t>EMPIEZA EN CASA</t>
  </si>
  <si>
    <t>ESTA ES MI CANCION</t>
  </si>
  <si>
    <t>TV MEDICA</t>
  </si>
  <si>
    <t>ESCAPATE</t>
  </si>
  <si>
    <t>A FONDO</t>
  </si>
  <si>
    <t>REVISTA MATINAL G MAGAZINE</t>
  </si>
  <si>
    <t>CADA VIDA IMPORTA</t>
  </si>
  <si>
    <t>COLOMBIAR</t>
  </si>
  <si>
    <t>EL CANDIDATO IDEAL</t>
  </si>
  <si>
    <t>PURO CHILE</t>
  </si>
  <si>
    <t>A PURO CHILE</t>
  </si>
  <si>
    <t>EDUCA</t>
  </si>
  <si>
    <t>EMPRENDEDORES</t>
  </si>
  <si>
    <t xml:space="preserve">EDUCA </t>
  </si>
  <si>
    <t>COMPLEJAMENTE</t>
  </si>
  <si>
    <t>LOS PROTAGONISTAS</t>
  </si>
  <si>
    <t xml:space="preserve">NCC CIENCIA TECNOLOGIA Y CULTURA </t>
  </si>
  <si>
    <t>LOS PROTAGONISTAS RR</t>
  </si>
  <si>
    <t>SABROSO Y SALUDABLE</t>
  </si>
  <si>
    <t>BISTURI</t>
  </si>
  <si>
    <t>PROMO TV</t>
  </si>
  <si>
    <t>VUELO DE MEXICO</t>
  </si>
  <si>
    <t>GUARDIANES DE LA SALUD</t>
  </si>
  <si>
    <t>VENTAS MUNDO</t>
  </si>
  <si>
    <t>PROGRAMACION DICIEMBRE 2025</t>
  </si>
  <si>
    <t xml:space="preserve">Lunes </t>
  </si>
  <si>
    <t>Martes</t>
  </si>
  <si>
    <t>Miércoles</t>
  </si>
  <si>
    <t xml:space="preserve">Jueves </t>
  </si>
  <si>
    <t xml:space="preserve">Viernes </t>
  </si>
  <si>
    <t>Sábado</t>
  </si>
  <si>
    <t xml:space="preserve">Domingo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</si>
</sst>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5" formatCode="_(&quot;$&quot;\ * #,##0_);_(&quot;$&quot;\ * \(#,##0\);_(&quot;$&quot;\ 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3"/>
      <name val="Century Gothic"/>
      <family val="2"/>
    </font>
    <font>
      <sz val="12"/>
      <color theme="0"/>
      <name val="Century Gothic"/>
      <family val="2"/>
    </font>
    <font>
      <b/>
      <sz val="12"/>
      <color theme="0"/>
      <name val="Century Gothic"/>
      <family val="2"/>
    </font>
    <font>
      <b/>
      <sz val="12"/>
      <name val="Century Gothic"/>
      <family val="2"/>
    </font>
    <font>
      <b/>
      <sz val="28"/>
      <name val="Century Gothic"/>
      <family val="2"/>
    </font>
    <font>
      <b/>
      <sz val="14"/>
      <name val="Century Gothic"/>
      <family val="2"/>
    </font>
    <font>
      <sz val="12"/>
      <name val="Century Gothic"/>
      <family val="2"/>
    </font>
    <font>
      <sz val="12"/>
      <color rgb="FF000000"/>
      <name val="Century Gothic"/>
      <family val="2"/>
    </font>
    <font>
      <sz val="8"/>
      <name val="Century Gothic"/>
      <family val="2"/>
    </font>
    <font>
      <sz val="10"/>
      <name val="Century Gothic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</fills>
  <borders count="45">
    <border>
      <left/>
      <right/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hair">
        <color theme="4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hair">
        <color theme="5" tint="0.39991454817346722"/>
      </left>
      <right style="hair">
        <color theme="5" tint="0.39991454817346722"/>
      </right>
      <top style="hair">
        <color theme="5" tint="0.39991454817346722"/>
      </top>
      <bottom style="hair">
        <color theme="5" tint="0.39991454817346722"/>
      </bottom>
      <diagonal/>
    </border>
    <border>
      <left style="hair">
        <color theme="5" tint="0.39991454817346722"/>
      </left>
      <right style="hair">
        <color theme="5" tint="0.39991454817346722"/>
      </right>
      <top style="hair">
        <color theme="5" tint="0.39991454817346722"/>
      </top>
      <bottom/>
      <diagonal/>
    </border>
    <border>
      <left style="hair">
        <color theme="5" tint="0.39991454817346722"/>
      </left>
      <right style="hair">
        <color theme="5" tint="0.39991454817346722"/>
      </right>
      <top/>
      <bottom style="hair">
        <color theme="5" tint="0.39991454817346722"/>
      </bottom>
      <diagonal/>
    </border>
    <border>
      <left style="hair">
        <color theme="5" tint="0.39991454817346722"/>
      </left>
      <right style="hair">
        <color theme="5" tint="0.39991454817346722"/>
      </right>
      <top/>
      <bottom/>
      <diagonal/>
    </border>
    <border>
      <left style="hair">
        <color theme="5" tint="0.39991454817346722"/>
      </left>
      <right style="hair">
        <color theme="5" tint="0.39991454817346722"/>
      </right>
      <top style="medium">
        <color theme="5" tint="0.39988402966399123"/>
      </top>
      <bottom/>
      <diagonal/>
    </border>
    <border>
      <left style="hair">
        <color theme="5" tint="0.39991454817346722"/>
      </left>
      <right style="hair">
        <color theme="5" tint="0.39991454817346722"/>
      </right>
      <top style="medium">
        <color theme="5" tint="0.39988402966399123"/>
      </top>
      <bottom style="hair">
        <color theme="5" tint="0.39991454817346722"/>
      </bottom>
      <diagonal/>
    </border>
    <border>
      <left style="hair">
        <color theme="5" tint="0.39991454817346722"/>
      </left>
      <right style="hair">
        <color theme="5" tint="0.39991454817346722"/>
      </right>
      <top/>
      <bottom style="medium">
        <color theme="5" tint="0.39988402966399123"/>
      </bottom>
      <diagonal/>
    </border>
    <border>
      <left style="hair">
        <color theme="5" tint="0.39991454817346722"/>
      </left>
      <right/>
      <top style="medium">
        <color theme="5" tint="0.399884029663991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5" tint="0.39991454817346722"/>
      </right>
      <top style="hair">
        <color theme="5" tint="0.39991454817346722"/>
      </top>
      <bottom/>
      <diagonal/>
    </border>
    <border>
      <left/>
      <right style="hair">
        <color theme="5" tint="0.39991454817346722"/>
      </right>
      <top/>
      <bottom/>
      <diagonal/>
    </border>
    <border>
      <left/>
      <right style="hair">
        <color theme="5" tint="0.39991454817346722"/>
      </right>
      <top style="medium">
        <color theme="5" tint="0.39988402966399123"/>
      </top>
      <bottom style="hair">
        <color theme="5" tint="0.39991454817346722"/>
      </bottom>
      <diagonal/>
    </border>
    <border>
      <left/>
      <right style="hair">
        <color theme="5" tint="0.39991454817346722"/>
      </right>
      <top style="hair">
        <color theme="5" tint="0.39991454817346722"/>
      </top>
      <bottom style="hair">
        <color theme="5" tint="0.39991454817346722"/>
      </bottom>
      <diagonal/>
    </border>
    <border>
      <left/>
      <right style="hair">
        <color theme="5" tint="0.39991454817346722"/>
      </right>
      <top style="medium">
        <color theme="5" tint="0.39988402966399123"/>
      </top>
      <bottom/>
      <diagonal/>
    </border>
    <border>
      <left/>
      <right style="hair">
        <color theme="5" tint="0.39991454817346722"/>
      </right>
      <top/>
      <bottom style="hair">
        <color theme="5" tint="0.39991454817346722"/>
      </bottom>
      <diagonal/>
    </border>
    <border>
      <left/>
      <right style="hair">
        <color theme="5" tint="0.39991454817346722"/>
      </right>
      <top/>
      <bottom style="medium">
        <color theme="5" tint="0.39988402966399123"/>
      </bottom>
      <diagonal/>
    </border>
    <border>
      <left style="hair">
        <color theme="5" tint="0.39991454817346722"/>
      </left>
      <right/>
      <top style="hair">
        <color theme="5" tint="0.39991454817346722"/>
      </top>
      <bottom/>
      <diagonal/>
    </border>
    <border>
      <left style="hair">
        <color theme="5" tint="0.39991454817346722"/>
      </left>
      <right/>
      <top/>
      <bottom/>
      <diagonal/>
    </border>
    <border>
      <left style="hair">
        <color theme="5" tint="0.39991454817346722"/>
      </left>
      <right/>
      <top style="medium">
        <color theme="5" tint="0.39988402966399123"/>
      </top>
      <bottom style="hair">
        <color theme="5" tint="0.39991454817346722"/>
      </bottom>
      <diagonal/>
    </border>
    <border>
      <left style="hair">
        <color theme="5" tint="0.39991454817346722"/>
      </left>
      <right/>
      <top style="hair">
        <color theme="5" tint="0.39991454817346722"/>
      </top>
      <bottom style="hair">
        <color theme="5" tint="0.39991454817346722"/>
      </bottom>
      <diagonal/>
    </border>
    <border>
      <left style="hair">
        <color theme="5" tint="0.39991454817346722"/>
      </left>
      <right/>
      <top/>
      <bottom style="hair">
        <color theme="5" tint="0.39991454817346722"/>
      </bottom>
      <diagonal/>
    </border>
    <border>
      <left style="hair">
        <color theme="5" tint="0.39991454817346722"/>
      </left>
      <right/>
      <top/>
      <bottom style="medium">
        <color theme="5" tint="0.39988402966399123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theme="0" tint="-0.24994659260841701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0" fontId="4" fillId="0" borderId="0">
      <alignment vertical="top"/>
    </xf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0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vertical="center"/>
    </xf>
    <xf numFmtId="2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8" fillId="4" borderId="0" xfId="0" applyFont="1" applyFill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2" fontId="6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5" fillId="0" borderId="0" xfId="0" quotePrefix="1" applyFont="1"/>
    <xf numFmtId="0" fontId="10" fillId="0" borderId="0" xfId="0" applyFont="1"/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 wrapText="1"/>
    </xf>
    <xf numFmtId="0" fontId="9" fillId="4" borderId="5" xfId="0" applyFont="1" applyFill="1" applyBorder="1" applyAlignment="1">
      <alignment horizontal="center" wrapText="1"/>
    </xf>
    <xf numFmtId="20" fontId="7" fillId="2" borderId="28" xfId="0" applyNumberFormat="1" applyFont="1" applyFill="1" applyBorder="1" applyAlignment="1">
      <alignment horizontal="center"/>
    </xf>
    <xf numFmtId="20" fontId="7" fillId="5" borderId="28" xfId="0" applyNumberFormat="1" applyFont="1" applyFill="1" applyBorder="1" applyAlignment="1">
      <alignment horizontal="center"/>
    </xf>
    <xf numFmtId="0" fontId="12" fillId="0" borderId="31" xfId="0" applyFont="1" applyBorder="1" applyAlignment="1">
      <alignment vertical="center" wrapText="1"/>
    </xf>
    <xf numFmtId="20" fontId="10" fillId="2" borderId="14" xfId="0" applyNumberFormat="1" applyFont="1" applyFill="1" applyBorder="1" applyAlignment="1">
      <alignment horizontal="center"/>
    </xf>
    <xf numFmtId="165" fontId="10" fillId="2" borderId="19" xfId="1" applyNumberFormat="1" applyFont="1" applyFill="1" applyBorder="1" applyAlignment="1"/>
    <xf numFmtId="0" fontId="10" fillId="2" borderId="10" xfId="0" applyFont="1" applyFill="1" applyBorder="1"/>
    <xf numFmtId="164" fontId="10" fillId="2" borderId="13" xfId="1" applyFont="1" applyFill="1" applyBorder="1" applyAlignment="1"/>
    <xf numFmtId="165" fontId="10" fillId="2" borderId="16" xfId="1" applyNumberFormat="1" applyFont="1" applyFill="1" applyBorder="1" applyAlignment="1"/>
    <xf numFmtId="0" fontId="10" fillId="2" borderId="9" xfId="0" applyFont="1" applyFill="1" applyBorder="1"/>
    <xf numFmtId="164" fontId="10" fillId="2" borderId="23" xfId="1" applyFont="1" applyFill="1" applyBorder="1" applyAlignment="1"/>
    <xf numFmtId="165" fontId="10" fillId="2" borderId="18" xfId="1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164" fontId="10" fillId="2" borderId="25" xfId="1" applyFont="1" applyFill="1" applyBorder="1" applyAlignment="1">
      <alignment horizontal="center"/>
    </xf>
    <xf numFmtId="165" fontId="10" fillId="2" borderId="18" xfId="1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20" fontId="10" fillId="2" borderId="14" xfId="0" applyNumberFormat="1" applyFont="1" applyFill="1" applyBorder="1" applyAlignment="1">
      <alignment horizontal="center" vertical="center"/>
    </xf>
    <xf numFmtId="20" fontId="10" fillId="2" borderId="32" xfId="0" applyNumberFormat="1" applyFont="1" applyFill="1" applyBorder="1" applyAlignment="1">
      <alignment horizontal="center" vertical="center"/>
    </xf>
    <xf numFmtId="0" fontId="9" fillId="2" borderId="0" xfId="0" applyFont="1" applyFill="1"/>
    <xf numFmtId="20" fontId="10" fillId="2" borderId="40" xfId="0" applyNumberFormat="1" applyFont="1" applyFill="1" applyBorder="1" applyAlignment="1">
      <alignment horizontal="center"/>
    </xf>
    <xf numFmtId="165" fontId="10" fillId="2" borderId="17" xfId="1" applyNumberFormat="1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164" fontId="10" fillId="2" borderId="24" xfId="1" applyFont="1" applyFill="1" applyBorder="1" applyAlignment="1">
      <alignment horizontal="center"/>
    </xf>
    <xf numFmtId="0" fontId="5" fillId="2" borderId="0" xfId="0" applyFont="1" applyFill="1"/>
    <xf numFmtId="20" fontId="10" fillId="2" borderId="38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5" fontId="10" fillId="2" borderId="15" xfId="1" applyNumberFormat="1" applyFont="1" applyFill="1" applyBorder="1" applyAlignment="1">
      <alignment horizontal="center"/>
    </xf>
    <xf numFmtId="165" fontId="10" fillId="2" borderId="20" xfId="1" applyNumberFormat="1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164" fontId="10" fillId="2" borderId="22" xfId="1" applyFont="1" applyFill="1" applyBorder="1" applyAlignment="1">
      <alignment horizontal="center"/>
    </xf>
    <xf numFmtId="164" fontId="10" fillId="2" borderId="26" xfId="1" applyFont="1" applyFill="1" applyBorder="1" applyAlignment="1">
      <alignment horizontal="center"/>
    </xf>
    <xf numFmtId="0" fontId="14" fillId="2" borderId="14" xfId="0" applyFont="1" applyFill="1" applyBorder="1" applyAlignment="1">
      <alignment horizontal="center"/>
    </xf>
    <xf numFmtId="0" fontId="15" fillId="2" borderId="14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 wrapText="1"/>
    </xf>
    <xf numFmtId="0" fontId="17" fillId="2" borderId="36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44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49" fontId="11" fillId="3" borderId="0" xfId="0" applyNumberFormat="1" applyFont="1" applyFill="1" applyAlignment="1">
      <alignment horizontal="center" vertical="center"/>
    </xf>
    <xf numFmtId="0" fontId="5" fillId="0" borderId="4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4" fillId="2" borderId="35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164" fontId="10" fillId="2" borderId="22" xfId="1" applyFont="1" applyFill="1" applyBorder="1" applyAlignment="1">
      <alignment horizontal="center"/>
    </xf>
    <xf numFmtId="164" fontId="10" fillId="2" borderId="26" xfId="1" applyFont="1" applyFill="1" applyBorder="1" applyAlignment="1">
      <alignment horizontal="center"/>
    </xf>
    <xf numFmtId="165" fontId="10" fillId="2" borderId="15" xfId="1" applyNumberFormat="1" applyFont="1" applyFill="1" applyBorder="1" applyAlignment="1">
      <alignment horizontal="center"/>
    </xf>
    <xf numFmtId="165" fontId="10" fillId="2" borderId="20" xfId="1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165" fontId="10" fillId="2" borderId="15" xfId="1" applyNumberFormat="1" applyFont="1" applyFill="1" applyBorder="1" applyAlignment="1">
      <alignment horizontal="center" vertical="center"/>
    </xf>
    <xf numFmtId="165" fontId="10" fillId="2" borderId="16" xfId="1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/>
    </xf>
    <xf numFmtId="164" fontId="10" fillId="2" borderId="22" xfId="1" applyFont="1" applyFill="1" applyBorder="1" applyAlignment="1">
      <alignment horizontal="center" vertical="center"/>
    </xf>
    <xf numFmtId="164" fontId="10" fillId="2" borderId="23" xfId="1" applyFont="1" applyFill="1" applyBorder="1" applyAlignment="1">
      <alignment horizontal="center" vertical="center"/>
    </xf>
    <xf numFmtId="164" fontId="10" fillId="2" borderId="23" xfId="1" applyFont="1" applyFill="1" applyBorder="1" applyAlignment="1">
      <alignment horizontal="center"/>
    </xf>
    <xf numFmtId="164" fontId="10" fillId="2" borderId="27" xfId="1" applyFont="1" applyFill="1" applyBorder="1" applyAlignment="1">
      <alignment horizontal="center"/>
    </xf>
    <xf numFmtId="165" fontId="10" fillId="2" borderId="20" xfId="1" applyNumberFormat="1" applyFont="1" applyFill="1" applyBorder="1" applyAlignment="1">
      <alignment horizontal="center" vertical="center"/>
    </xf>
    <xf numFmtId="164" fontId="10" fillId="2" borderId="26" xfId="1" applyFont="1" applyFill="1" applyBorder="1" applyAlignment="1">
      <alignment horizontal="center" vertical="center"/>
    </xf>
    <xf numFmtId="165" fontId="10" fillId="2" borderId="16" xfId="1" applyNumberFormat="1" applyFont="1" applyFill="1" applyBorder="1" applyAlignment="1">
      <alignment horizontal="center"/>
    </xf>
    <xf numFmtId="165" fontId="10" fillId="2" borderId="21" xfId="1" applyNumberFormat="1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3" fillId="2" borderId="39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center" vertical="center" wrapText="1"/>
    </xf>
    <xf numFmtId="0" fontId="13" fillId="2" borderId="37" xfId="0" applyFont="1" applyFill="1" applyBorder="1" applyAlignment="1">
      <alignment horizontal="center" vertical="center" wrapText="1"/>
    </xf>
    <xf numFmtId="0" fontId="13" fillId="2" borderId="38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16" fillId="2" borderId="35" xfId="0" applyFont="1" applyFill="1" applyBorder="1" applyAlignment="1">
      <alignment horizontal="center" vertical="center"/>
    </xf>
    <xf numFmtId="0" fontId="16" fillId="2" borderId="36" xfId="0" applyFont="1" applyFill="1" applyBorder="1" applyAlignment="1">
      <alignment horizontal="center" vertical="center"/>
    </xf>
  </cellXfs>
  <cellStyles count="9">
    <cellStyle name="Moneda" xfId="1" builtinId="4"/>
    <cellStyle name="Moneda 2" xfId="7" xr:uid="{00000000-0005-0000-0000-000001000000}"/>
    <cellStyle name="Normal" xfId="0" builtinId="0"/>
    <cellStyle name="Normal 2" xfId="5" xr:uid="{00000000-0005-0000-0000-000003000000}"/>
    <cellStyle name="Normal 3" xfId="3" xr:uid="{00000000-0005-0000-0000-000004000000}"/>
    <cellStyle name="Normal 3 2" xfId="6" xr:uid="{00000000-0005-0000-0000-000005000000}"/>
    <cellStyle name="Normal 4" xfId="2" xr:uid="{00000000-0005-0000-0000-000006000000}"/>
    <cellStyle name="Normal 5" xfId="4" xr:uid="{00000000-0005-0000-0000-000007000000}"/>
    <cellStyle name="Porcentaje 2" xfId="8" xr:uid="{00000000-0005-0000-0000-000008000000}"/>
  </cellStyles>
  <dxfs count="0"/>
  <tableStyles count="0" defaultTableStyle="TableStyleMedium2" defaultPivotStyle="PivotStyleLight16"/>
  <colors>
    <mruColors>
      <color rgb="FFFFFF99"/>
      <color rgb="FFFFFFCC"/>
      <color rgb="FFFF99FF"/>
      <color rgb="FF99FF99"/>
      <color rgb="FF99FF66"/>
      <color rgb="FFBFCC16"/>
      <color rgb="FFDBDBDB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155244</xdr:colOff>
      <xdr:row>0</xdr:row>
      <xdr:rowOff>64866</xdr:rowOff>
    </xdr:from>
    <xdr:to>
      <xdr:col>1</xdr:col>
      <xdr:colOff>525112</xdr:colOff>
      <xdr:row>3</xdr:row>
      <xdr:rowOff>191970</xdr:rowOff>
    </xdr:to>
    <xdr:pic>
      <xdr:nvPicPr>
        <xdr:cNvPr id="2" name="f29abaea-0bb2-441e-a414-bb84479d5b5f" descr="C09DF02C-5FE1-4645-8EC2-FC87105408BF@gamat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44" y="64866"/>
          <a:ext cx="927761" cy="753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6"/>
  <sheetViews>
    <sheetView tabSelected="1" topLeftCell="J1" zoomScale="69" zoomScaleNormal="69" workbookViewId="0">
      <selection activeCell="F22" sqref="F22:J22"/>
    </sheetView>
  </sheetViews>
  <sheetFormatPr defaultColWidth="11.43359375" defaultRowHeight="16.5" x14ac:dyDescent="0.2"/>
  <cols>
    <col min="1" max="2" width="8.33984375" style="1" bestFit="1" customWidth="1"/>
    <col min="3" max="3" width="10.625" style="1" hidden="1" customWidth="1"/>
    <col min="4" max="4" width="8.33984375" style="1" hidden="1" customWidth="1"/>
    <col min="5" max="5" width="17.75390625" style="1" hidden="1" customWidth="1"/>
    <col min="6" max="6" width="32.6875" style="1" customWidth="1"/>
    <col min="7" max="7" width="30.53515625" style="1" customWidth="1"/>
    <col min="8" max="9" width="30.66796875" style="1" customWidth="1"/>
    <col min="10" max="10" width="35.51171875" style="1" customWidth="1"/>
    <col min="11" max="12" width="8.33984375" style="1" bestFit="1" customWidth="1"/>
    <col min="13" max="14" width="40.89453125" style="2" customWidth="1"/>
    <col min="15" max="16" width="6.9921875" style="1" bestFit="1" customWidth="1"/>
    <col min="17" max="20" width="0" style="1" hidden="1" customWidth="1"/>
    <col min="21" max="21" width="11.43359375" style="1"/>
    <col min="22" max="22" width="43.046875" style="1" bestFit="1" customWidth="1"/>
    <col min="23" max="16384" width="11.43359375" style="1"/>
  </cols>
  <sheetData>
    <row r="1" spans="1:22" x14ac:dyDescent="0.2">
      <c r="A1" s="56"/>
      <c r="B1" s="56"/>
      <c r="C1" s="56"/>
      <c r="D1" s="56"/>
      <c r="E1" s="56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2" spans="1:22" x14ac:dyDescent="0.2"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</row>
    <row r="3" spans="1:22" ht="20.100000000000001" customHeight="1" x14ac:dyDescent="0.2">
      <c r="A3" s="13"/>
      <c r="B3" s="13"/>
      <c r="C3" s="13"/>
      <c r="D3" s="13"/>
      <c r="E3" s="13"/>
      <c r="F3" s="96" t="s">
        <v>52</v>
      </c>
      <c r="G3" s="96"/>
      <c r="H3" s="96"/>
      <c r="I3" s="96"/>
      <c r="J3" s="96"/>
      <c r="K3" s="96"/>
      <c r="L3" s="96"/>
      <c r="M3" s="96"/>
      <c r="N3" s="96"/>
      <c r="O3" s="96"/>
      <c r="P3" s="96"/>
    </row>
    <row r="4" spans="1:22" ht="20.100000000000001" customHeight="1" x14ac:dyDescent="0.2">
      <c r="A4" s="13"/>
      <c r="B4" s="13"/>
      <c r="C4" s="13"/>
      <c r="D4" s="13"/>
      <c r="E4" s="13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</row>
    <row r="5" spans="1:22" ht="20.100000000000001" customHeight="1" x14ac:dyDescent="0.2">
      <c r="A5" s="94" t="s">
        <v>0</v>
      </c>
      <c r="B5" s="95"/>
      <c r="C5" s="14" t="s">
        <v>4</v>
      </c>
      <c r="D5" s="14" t="s">
        <v>3</v>
      </c>
      <c r="E5" s="14" t="s">
        <v>1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94" t="s">
        <v>0</v>
      </c>
      <c r="L5" s="95"/>
      <c r="M5" s="16" t="s">
        <v>58</v>
      </c>
      <c r="N5" s="17" t="s">
        <v>59</v>
      </c>
      <c r="O5" s="94" t="s">
        <v>0</v>
      </c>
      <c r="P5" s="95"/>
      <c r="Q5" s="7"/>
      <c r="R5" s="7"/>
      <c r="S5" s="7"/>
      <c r="T5" s="7"/>
      <c r="V5" s="34"/>
    </row>
    <row r="6" spans="1:22" ht="20.100000000000001" customHeight="1" x14ac:dyDescent="0.2">
      <c r="A6" s="21">
        <v>0.22916666666666666</v>
      </c>
      <c r="B6" s="21">
        <v>0.25</v>
      </c>
      <c r="C6" s="115"/>
      <c r="D6" s="113"/>
      <c r="E6" s="118"/>
      <c r="F6" s="133" t="s">
        <v>2</v>
      </c>
      <c r="G6" s="134"/>
      <c r="H6" s="134"/>
      <c r="I6" s="134"/>
      <c r="J6" s="135"/>
      <c r="K6" s="21">
        <v>0.22916666666666666</v>
      </c>
      <c r="L6" s="21">
        <v>0.25</v>
      </c>
      <c r="M6" s="55" t="s">
        <v>2</v>
      </c>
      <c r="N6" s="55" t="s">
        <v>2</v>
      </c>
      <c r="O6" s="21">
        <v>0.22916666666666666</v>
      </c>
      <c r="P6" s="21">
        <v>0.25</v>
      </c>
      <c r="Q6" s="18"/>
      <c r="R6" s="6"/>
      <c r="S6" s="5"/>
      <c r="T6" s="6"/>
      <c r="V6" s="34"/>
    </row>
    <row r="7" spans="1:22" ht="20.100000000000001" customHeight="1" x14ac:dyDescent="0.2">
      <c r="A7" s="21">
        <v>0.25</v>
      </c>
      <c r="B7" s="21">
        <v>0.27083333333333331</v>
      </c>
      <c r="C7" s="116"/>
      <c r="D7" s="117"/>
      <c r="E7" s="119"/>
      <c r="F7" s="136" t="s">
        <v>7</v>
      </c>
      <c r="G7" s="136"/>
      <c r="H7" s="136"/>
      <c r="I7" s="136"/>
      <c r="J7" s="136"/>
      <c r="K7" s="21">
        <v>0.25</v>
      </c>
      <c r="L7" s="21">
        <v>0.27083333333333331</v>
      </c>
      <c r="M7" s="62" t="s">
        <v>7</v>
      </c>
      <c r="N7" s="62" t="s">
        <v>41</v>
      </c>
      <c r="O7" s="21">
        <v>0.25</v>
      </c>
      <c r="P7" s="21">
        <v>0.27083333333333331</v>
      </c>
      <c r="Q7" s="18"/>
      <c r="R7" s="6"/>
      <c r="S7" s="5"/>
      <c r="T7" s="6"/>
      <c r="V7" s="34"/>
    </row>
    <row r="8" spans="1:22" ht="20.100000000000001" customHeight="1" thickBot="1" x14ac:dyDescent="0.25">
      <c r="A8" s="21">
        <v>0.27083333333333298</v>
      </c>
      <c r="B8" s="21">
        <v>0.29166666666666669</v>
      </c>
      <c r="C8" s="116"/>
      <c r="D8" s="117"/>
      <c r="E8" s="119"/>
      <c r="F8" s="51" t="s">
        <v>14</v>
      </c>
      <c r="G8" s="53" t="s">
        <v>15</v>
      </c>
      <c r="H8" s="54" t="s">
        <v>16</v>
      </c>
      <c r="I8" s="51" t="s">
        <v>14</v>
      </c>
      <c r="J8" s="52" t="s">
        <v>22</v>
      </c>
      <c r="K8" s="21">
        <v>0.27083333333333298</v>
      </c>
      <c r="L8" s="21">
        <v>0.29166666666666669</v>
      </c>
      <c r="M8" s="63"/>
      <c r="N8" s="92"/>
      <c r="O8" s="21">
        <v>0.27083333333333298</v>
      </c>
      <c r="P8" s="21">
        <v>0.29166666666666669</v>
      </c>
      <c r="Q8" s="18"/>
      <c r="R8" s="6"/>
      <c r="S8" s="5"/>
      <c r="T8" s="6"/>
    </row>
    <row r="9" spans="1:22" ht="20.100000000000001" customHeight="1" x14ac:dyDescent="0.2">
      <c r="A9" s="21">
        <v>0.29166666666666702</v>
      </c>
      <c r="B9" s="21">
        <v>0.3125</v>
      </c>
      <c r="C9" s="39"/>
      <c r="D9" s="40">
        <v>22</v>
      </c>
      <c r="E9" s="41">
        <f t="shared" ref="E9:E20" si="0">C9*D9</f>
        <v>0</v>
      </c>
      <c r="F9" s="72" t="s">
        <v>32</v>
      </c>
      <c r="G9" s="73"/>
      <c r="H9" s="73"/>
      <c r="I9" s="73"/>
      <c r="J9" s="74"/>
      <c r="K9" s="21">
        <v>0.29166666666666702</v>
      </c>
      <c r="L9" s="21">
        <v>0.3125</v>
      </c>
      <c r="M9" s="54" t="s">
        <v>24</v>
      </c>
      <c r="N9" s="54" t="s">
        <v>24</v>
      </c>
      <c r="O9" s="21">
        <v>0.29166666666666702</v>
      </c>
      <c r="P9" s="21">
        <v>0.3125</v>
      </c>
      <c r="Q9" s="18"/>
      <c r="R9" s="6"/>
      <c r="S9" s="5"/>
      <c r="T9" s="6"/>
    </row>
    <row r="10" spans="1:22" ht="20.100000000000001" customHeight="1" x14ac:dyDescent="0.2">
      <c r="A10" s="21">
        <v>0.3125</v>
      </c>
      <c r="B10" s="21">
        <v>0.33333333333333331</v>
      </c>
      <c r="C10" s="28"/>
      <c r="D10" s="29">
        <v>22</v>
      </c>
      <c r="E10" s="30">
        <f t="shared" si="0"/>
        <v>0</v>
      </c>
      <c r="F10" s="75"/>
      <c r="G10" s="76"/>
      <c r="H10" s="76"/>
      <c r="I10" s="76"/>
      <c r="J10" s="77"/>
      <c r="K10" s="21">
        <v>0.3125</v>
      </c>
      <c r="L10" s="21">
        <v>0.33333333333333331</v>
      </c>
      <c r="M10" s="59" t="s">
        <v>48</v>
      </c>
      <c r="N10" s="59" t="s">
        <v>48</v>
      </c>
      <c r="O10" s="21">
        <v>0.3125</v>
      </c>
      <c r="P10" s="21">
        <v>0.33333333333333331</v>
      </c>
      <c r="Q10" s="18"/>
      <c r="R10" s="6"/>
      <c r="S10" s="5"/>
      <c r="T10" s="6"/>
    </row>
    <row r="11" spans="1:22" ht="20.100000000000001" customHeight="1" x14ac:dyDescent="0.2">
      <c r="A11" s="21">
        <v>0.33333333333333298</v>
      </c>
      <c r="B11" s="21">
        <v>0.35416666666666669</v>
      </c>
      <c r="C11" s="28"/>
      <c r="D11" s="29">
        <v>22</v>
      </c>
      <c r="E11" s="30">
        <f t="shared" si="0"/>
        <v>0</v>
      </c>
      <c r="F11" s="78" t="s">
        <v>31</v>
      </c>
      <c r="G11" s="79"/>
      <c r="H11" s="79"/>
      <c r="I11" s="79"/>
      <c r="J11" s="80"/>
      <c r="K11" s="21">
        <v>0.33333333333333298</v>
      </c>
      <c r="L11" s="21">
        <v>0.35416666666666669</v>
      </c>
      <c r="M11" s="62" t="s">
        <v>24</v>
      </c>
      <c r="N11" s="62" t="s">
        <v>51</v>
      </c>
      <c r="O11" s="21">
        <v>0.33333333333333298</v>
      </c>
      <c r="P11" s="21">
        <v>0.35416666666666669</v>
      </c>
      <c r="Q11" s="18"/>
      <c r="R11" s="6"/>
      <c r="S11" s="5"/>
      <c r="T11" s="6"/>
    </row>
    <row r="12" spans="1:22" ht="20.100000000000001" customHeight="1" x14ac:dyDescent="0.2">
      <c r="A12" s="21">
        <v>0.35416666666666702</v>
      </c>
      <c r="B12" s="21">
        <v>0.375</v>
      </c>
      <c r="C12" s="28"/>
      <c r="D12" s="29">
        <v>22</v>
      </c>
      <c r="E12" s="30"/>
      <c r="F12" s="61" t="s">
        <v>19</v>
      </c>
      <c r="G12" s="61" t="s">
        <v>10</v>
      </c>
      <c r="H12" s="57" t="s">
        <v>23</v>
      </c>
      <c r="I12" s="61" t="s">
        <v>19</v>
      </c>
      <c r="J12" s="61" t="s">
        <v>21</v>
      </c>
      <c r="K12" s="21">
        <v>0.35416666666666702</v>
      </c>
      <c r="L12" s="21">
        <v>0.375</v>
      </c>
      <c r="M12" s="81"/>
      <c r="N12" s="81"/>
      <c r="O12" s="21">
        <v>0.35416666666666702</v>
      </c>
      <c r="P12" s="21">
        <v>0.375</v>
      </c>
      <c r="Q12" s="18"/>
      <c r="R12" s="6"/>
      <c r="S12" s="5"/>
      <c r="T12" s="6"/>
    </row>
    <row r="13" spans="1:22" ht="20.100000000000001" customHeight="1" x14ac:dyDescent="0.2">
      <c r="A13" s="21">
        <v>0.375000000000001</v>
      </c>
      <c r="B13" s="21">
        <v>0.39583333333333331</v>
      </c>
      <c r="C13" s="28"/>
      <c r="D13" s="29">
        <v>22</v>
      </c>
      <c r="E13" s="30">
        <f t="shared" si="0"/>
        <v>0</v>
      </c>
      <c r="F13" s="78" t="s">
        <v>49</v>
      </c>
      <c r="G13" s="90"/>
      <c r="H13" s="90"/>
      <c r="I13" s="90"/>
      <c r="J13" s="91"/>
      <c r="K13" s="21">
        <v>0.375000000000001</v>
      </c>
      <c r="L13" s="21">
        <v>0.39583333333333331</v>
      </c>
      <c r="M13" s="81"/>
      <c r="N13" s="81"/>
      <c r="O13" s="21">
        <v>0.375000000000001</v>
      </c>
      <c r="P13" s="21">
        <v>0.39583333333333331</v>
      </c>
      <c r="Q13" s="18"/>
      <c r="R13" s="6"/>
      <c r="S13" s="5"/>
      <c r="T13" s="6"/>
    </row>
    <row r="14" spans="1:22" ht="18.75" customHeight="1" x14ac:dyDescent="0.2">
      <c r="A14" s="21">
        <v>0.39583333333333498</v>
      </c>
      <c r="B14" s="35">
        <v>0.41666666666666669</v>
      </c>
      <c r="C14" s="28"/>
      <c r="D14" s="29">
        <v>22</v>
      </c>
      <c r="E14" s="30">
        <f t="shared" si="0"/>
        <v>0</v>
      </c>
      <c r="F14" s="72" t="s">
        <v>33</v>
      </c>
      <c r="G14" s="73"/>
      <c r="H14" s="73"/>
      <c r="I14" s="73"/>
      <c r="J14" s="74"/>
      <c r="K14" s="35">
        <v>0.39583333333333498</v>
      </c>
      <c r="L14" s="35">
        <v>0.41666666666666669</v>
      </c>
      <c r="M14" s="81"/>
      <c r="N14" s="63"/>
      <c r="O14" s="21">
        <v>0.39583333333333498</v>
      </c>
      <c r="P14" s="21">
        <v>0.41666666666666669</v>
      </c>
      <c r="Q14" s="18"/>
      <c r="R14" s="6"/>
      <c r="S14" s="5"/>
      <c r="T14" s="6"/>
    </row>
    <row r="15" spans="1:22" ht="20.100000000000001" customHeight="1" x14ac:dyDescent="0.2">
      <c r="A15" s="21">
        <v>0.41666666666666902</v>
      </c>
      <c r="B15" s="21">
        <v>0.4375</v>
      </c>
      <c r="C15" s="28"/>
      <c r="D15" s="29">
        <v>22</v>
      </c>
      <c r="E15" s="30">
        <f t="shared" si="0"/>
        <v>0</v>
      </c>
      <c r="F15" s="75"/>
      <c r="G15" s="76"/>
      <c r="H15" s="76"/>
      <c r="I15" s="76"/>
      <c r="J15" s="77"/>
      <c r="K15" s="43">
        <v>0.41666666666666669</v>
      </c>
      <c r="L15" s="21">
        <v>0.4375</v>
      </c>
      <c r="M15" s="54" t="s">
        <v>15</v>
      </c>
      <c r="N15" s="62" t="s">
        <v>48</v>
      </c>
      <c r="O15" s="21">
        <v>0.41666666666666902</v>
      </c>
      <c r="P15" s="21">
        <v>0.4375</v>
      </c>
      <c r="Q15" s="18"/>
      <c r="R15" s="6"/>
      <c r="S15" s="5"/>
      <c r="T15" s="6"/>
      <c r="V15" s="1" t="s">
        <v>5</v>
      </c>
    </row>
    <row r="16" spans="1:22" ht="20.100000000000001" customHeight="1" x14ac:dyDescent="0.2">
      <c r="A16" s="21">
        <v>0.437499999999999</v>
      </c>
      <c r="B16" s="21">
        <v>0.45833333333333331</v>
      </c>
      <c r="C16" s="28"/>
      <c r="D16" s="29">
        <v>22</v>
      </c>
      <c r="E16" s="30">
        <f t="shared" si="0"/>
        <v>0</v>
      </c>
      <c r="F16" s="87" t="s">
        <v>18</v>
      </c>
      <c r="G16" s="88"/>
      <c r="H16" s="88"/>
      <c r="I16" s="88"/>
      <c r="J16" s="89"/>
      <c r="K16" s="43">
        <v>0.4375</v>
      </c>
      <c r="L16" s="21">
        <v>0.45833333333333331</v>
      </c>
      <c r="M16" s="62" t="s">
        <v>51</v>
      </c>
      <c r="N16" s="63"/>
      <c r="O16" s="21">
        <v>0.437499999999999</v>
      </c>
      <c r="P16" s="21">
        <v>0.45833333333333331</v>
      </c>
      <c r="Q16" s="18"/>
      <c r="R16" s="6"/>
      <c r="S16" s="5"/>
      <c r="T16" s="6"/>
    </row>
    <row r="17" spans="1:25" ht="20.100000000000001" customHeight="1" x14ac:dyDescent="0.2">
      <c r="A17" s="21">
        <v>0.45833333333333298</v>
      </c>
      <c r="B17" s="21">
        <v>0.47916666666666669</v>
      </c>
      <c r="C17" s="28"/>
      <c r="D17" s="29"/>
      <c r="E17" s="30"/>
      <c r="F17" s="78" t="s">
        <v>46</v>
      </c>
      <c r="G17" s="90"/>
      <c r="H17" s="90"/>
      <c r="I17" s="90"/>
      <c r="J17" s="91"/>
      <c r="K17" s="43">
        <v>0.45833333333333298</v>
      </c>
      <c r="L17" s="21">
        <v>0.47916666666666669</v>
      </c>
      <c r="M17" s="64"/>
      <c r="N17" s="69" t="s">
        <v>51</v>
      </c>
      <c r="O17" s="21">
        <v>0.45833333333333298</v>
      </c>
      <c r="P17" s="21">
        <v>0.47916666666666669</v>
      </c>
      <c r="Q17" s="18"/>
      <c r="R17" s="6"/>
      <c r="S17" s="5"/>
      <c r="T17" s="6"/>
    </row>
    <row r="18" spans="1:25" ht="20.100000000000001" customHeight="1" x14ac:dyDescent="0.2">
      <c r="A18" s="21">
        <v>0.47916666666666669</v>
      </c>
      <c r="B18" s="21">
        <v>0.5</v>
      </c>
      <c r="C18" s="28"/>
      <c r="D18" s="29">
        <v>22</v>
      </c>
      <c r="E18" s="30">
        <f t="shared" si="0"/>
        <v>0</v>
      </c>
      <c r="F18" s="133" t="s">
        <v>37</v>
      </c>
      <c r="G18" s="134"/>
      <c r="H18" s="134"/>
      <c r="I18" s="134"/>
      <c r="J18" s="135"/>
      <c r="K18" s="43">
        <v>0.47916666666666669</v>
      </c>
      <c r="L18" s="21">
        <v>0.5</v>
      </c>
      <c r="M18" s="65"/>
      <c r="N18" s="70"/>
      <c r="O18" s="21">
        <v>0.47916666666666669</v>
      </c>
      <c r="P18" s="21">
        <v>0.5</v>
      </c>
      <c r="Q18" s="18"/>
      <c r="R18" s="6"/>
      <c r="S18" s="5"/>
      <c r="T18" s="6"/>
    </row>
    <row r="19" spans="1:25" ht="20.100000000000001" customHeight="1" x14ac:dyDescent="0.2">
      <c r="A19" s="21">
        <v>0.5</v>
      </c>
      <c r="B19" s="21">
        <v>0.52083333333333337</v>
      </c>
      <c r="C19" s="28"/>
      <c r="D19" s="29">
        <v>22</v>
      </c>
      <c r="E19" s="30">
        <f t="shared" si="0"/>
        <v>0</v>
      </c>
      <c r="F19" s="130" t="s">
        <v>48</v>
      </c>
      <c r="G19" s="131"/>
      <c r="H19" s="131"/>
      <c r="I19" s="131"/>
      <c r="J19" s="132"/>
      <c r="K19" s="21">
        <v>0.5</v>
      </c>
      <c r="L19" s="21">
        <v>0.52083333333333337</v>
      </c>
      <c r="M19" s="66" t="s">
        <v>48</v>
      </c>
      <c r="N19" s="71"/>
      <c r="O19" s="21">
        <v>0.5</v>
      </c>
      <c r="P19" s="21">
        <v>0.52083333333333337</v>
      </c>
      <c r="Q19" s="19">
        <f t="shared" ref="Q19:Q30" si="1">P19-O19</f>
        <v>2.083333333333337E-2</v>
      </c>
      <c r="R19" s="10">
        <v>0.5</v>
      </c>
      <c r="S19" s="11">
        <v>5</v>
      </c>
      <c r="T19" s="10">
        <f>R19*S19</f>
        <v>2.5</v>
      </c>
    </row>
    <row r="20" spans="1:25" ht="21" customHeight="1" thickBot="1" x14ac:dyDescent="0.25">
      <c r="A20" s="21">
        <v>0.52083333333333304</v>
      </c>
      <c r="B20" s="21">
        <v>0.54166666666666663</v>
      </c>
      <c r="C20" s="45"/>
      <c r="D20" s="44">
        <v>22</v>
      </c>
      <c r="E20" s="48">
        <f t="shared" si="0"/>
        <v>0</v>
      </c>
      <c r="F20" s="127" t="s">
        <v>13</v>
      </c>
      <c r="G20" s="73"/>
      <c r="H20" s="73"/>
      <c r="I20" s="73"/>
      <c r="J20" s="74"/>
      <c r="K20" s="21">
        <v>0.52083333333333304</v>
      </c>
      <c r="L20" s="21">
        <v>0.54166666666666663</v>
      </c>
      <c r="M20" s="67"/>
      <c r="N20" s="69" t="s">
        <v>38</v>
      </c>
      <c r="O20" s="21">
        <v>0.52083333333333304</v>
      </c>
      <c r="P20" s="21">
        <v>0.54166666666666663</v>
      </c>
      <c r="Q20" s="19">
        <f t="shared" si="1"/>
        <v>2.0833333333333592E-2</v>
      </c>
      <c r="R20" s="10">
        <v>0.5</v>
      </c>
      <c r="S20" s="11">
        <v>5</v>
      </c>
      <c r="T20" s="10">
        <f t="shared" ref="T20:T30" si="2">R20*S20</f>
        <v>2.5</v>
      </c>
    </row>
    <row r="21" spans="1:25" ht="20.100000000000001" customHeight="1" x14ac:dyDescent="0.2">
      <c r="A21" s="21">
        <v>0.54166666666666596</v>
      </c>
      <c r="B21" s="21">
        <v>0.5625</v>
      </c>
      <c r="C21" s="22"/>
      <c r="D21" s="23"/>
      <c r="E21" s="24"/>
      <c r="F21" s="130" t="s">
        <v>8</v>
      </c>
      <c r="G21" s="79"/>
      <c r="H21" s="79"/>
      <c r="I21" s="79"/>
      <c r="J21" s="80"/>
      <c r="K21" s="21">
        <v>0.54166666666666596</v>
      </c>
      <c r="L21" s="21">
        <v>0.5625</v>
      </c>
      <c r="M21" s="68"/>
      <c r="N21" s="70"/>
      <c r="O21" s="21">
        <v>0.54166666666666596</v>
      </c>
      <c r="P21" s="21">
        <v>0.5625</v>
      </c>
      <c r="Q21" s="19">
        <f t="shared" si="1"/>
        <v>2.0833333333334036E-2</v>
      </c>
      <c r="R21" s="10">
        <v>0.5</v>
      </c>
      <c r="S21" s="11">
        <v>5</v>
      </c>
      <c r="T21" s="10">
        <f t="shared" si="2"/>
        <v>2.5</v>
      </c>
      <c r="V21" s="34"/>
      <c r="X21" s="33"/>
      <c r="Y21" s="33"/>
    </row>
    <row r="22" spans="1:25" ht="19.5" customHeight="1" x14ac:dyDescent="0.2">
      <c r="A22" s="21">
        <v>0.562499999999999</v>
      </c>
      <c r="B22" s="21">
        <v>0.58333333333333337</v>
      </c>
      <c r="C22" s="25"/>
      <c r="D22" s="26"/>
      <c r="E22" s="27"/>
      <c r="F22" s="130" t="s">
        <v>48</v>
      </c>
      <c r="G22" s="131"/>
      <c r="H22" s="131"/>
      <c r="I22" s="131"/>
      <c r="J22" s="132"/>
      <c r="K22" s="21">
        <v>0.562499999999999</v>
      </c>
      <c r="L22" s="21">
        <v>0.58333333333333337</v>
      </c>
      <c r="M22" s="62" t="s">
        <v>51</v>
      </c>
      <c r="N22" s="70"/>
      <c r="O22" s="21">
        <v>0.562499999999999</v>
      </c>
      <c r="P22" s="21">
        <v>0.58333333333333337</v>
      </c>
      <c r="Q22" s="19">
        <f t="shared" si="1"/>
        <v>2.083333333333437E-2</v>
      </c>
      <c r="R22" s="10">
        <v>0.25</v>
      </c>
      <c r="S22" s="11">
        <v>5</v>
      </c>
      <c r="T22" s="10">
        <f t="shared" si="2"/>
        <v>1.25</v>
      </c>
      <c r="V22" s="34"/>
      <c r="X22" s="33"/>
      <c r="Y22" s="33"/>
    </row>
    <row r="23" spans="1:25" ht="20.100000000000001" customHeight="1" x14ac:dyDescent="0.2">
      <c r="A23" s="21">
        <v>0.58333333333333337</v>
      </c>
      <c r="B23" s="21">
        <v>0.60416666666666663</v>
      </c>
      <c r="C23" s="28"/>
      <c r="D23" s="29"/>
      <c r="E23" s="30"/>
      <c r="F23" s="72" t="s">
        <v>30</v>
      </c>
      <c r="G23" s="82"/>
      <c r="H23" s="82"/>
      <c r="I23" s="82"/>
      <c r="J23" s="83"/>
      <c r="K23" s="21">
        <v>0.58333333333333337</v>
      </c>
      <c r="L23" s="21">
        <v>0.60416666666666663</v>
      </c>
      <c r="M23" s="64"/>
      <c r="N23" s="59" t="s">
        <v>48</v>
      </c>
      <c r="O23" s="21">
        <v>0.58333333333333337</v>
      </c>
      <c r="P23" s="21">
        <v>0.60416666666666663</v>
      </c>
      <c r="Q23" s="19">
        <f t="shared" si="1"/>
        <v>2.0833333333333259E-2</v>
      </c>
      <c r="R23" s="10">
        <v>0.5</v>
      </c>
      <c r="S23" s="11">
        <v>5</v>
      </c>
      <c r="T23" s="10">
        <f t="shared" si="2"/>
        <v>2.5</v>
      </c>
      <c r="V23" s="33"/>
      <c r="X23" s="33"/>
      <c r="Y23" s="33"/>
    </row>
    <row r="24" spans="1:25" ht="20.100000000000001" customHeight="1" x14ac:dyDescent="0.2">
      <c r="A24" s="21">
        <v>0.60416666666666596</v>
      </c>
      <c r="B24" s="21">
        <v>0.625</v>
      </c>
      <c r="C24" s="28">
        <v>1000</v>
      </c>
      <c r="D24" s="29">
        <v>20</v>
      </c>
      <c r="E24" s="30">
        <f t="shared" ref="E24" si="3">C24*D24</f>
        <v>20000</v>
      </c>
      <c r="F24" s="84"/>
      <c r="G24" s="85"/>
      <c r="H24" s="85"/>
      <c r="I24" s="85"/>
      <c r="J24" s="86"/>
      <c r="K24" s="21">
        <v>0.60416666666666596</v>
      </c>
      <c r="L24" s="21">
        <v>0.625</v>
      </c>
      <c r="M24" s="65"/>
      <c r="N24" s="138" t="s">
        <v>50</v>
      </c>
      <c r="O24" s="21">
        <v>0.60416666666666596</v>
      </c>
      <c r="P24" s="21">
        <v>0.625</v>
      </c>
      <c r="Q24" s="19">
        <f t="shared" si="1"/>
        <v>2.0833333333334036E-2</v>
      </c>
      <c r="R24" s="10">
        <v>0.5</v>
      </c>
      <c r="S24" s="11">
        <v>5</v>
      </c>
      <c r="T24" s="10">
        <f t="shared" si="2"/>
        <v>2.5</v>
      </c>
      <c r="V24" s="33"/>
    </row>
    <row r="25" spans="1:25" ht="20.100000000000001" customHeight="1" x14ac:dyDescent="0.2">
      <c r="A25" s="21">
        <v>0.624999999999999</v>
      </c>
      <c r="B25" s="21">
        <v>0.64583333333333337</v>
      </c>
      <c r="C25" s="28"/>
      <c r="D25" s="29"/>
      <c r="E25" s="30"/>
      <c r="F25" s="78" t="s">
        <v>35</v>
      </c>
      <c r="G25" s="90"/>
      <c r="H25" s="90"/>
      <c r="I25" s="90"/>
      <c r="J25" s="91"/>
      <c r="K25" s="21">
        <v>0.625</v>
      </c>
      <c r="L25" s="21">
        <v>0.64583333333333337</v>
      </c>
      <c r="M25" s="62" t="s">
        <v>31</v>
      </c>
      <c r="N25" s="139"/>
      <c r="O25" s="21">
        <v>0.624999999999999</v>
      </c>
      <c r="P25" s="21">
        <v>0.64583333333333337</v>
      </c>
      <c r="Q25" s="19">
        <f t="shared" si="1"/>
        <v>2.083333333333437E-2</v>
      </c>
      <c r="R25" s="10">
        <v>0.5</v>
      </c>
      <c r="S25" s="11">
        <v>5</v>
      </c>
      <c r="T25" s="10">
        <f t="shared" si="2"/>
        <v>2.5</v>
      </c>
      <c r="V25" s="33"/>
    </row>
    <row r="26" spans="1:25" ht="20.100000000000001" customHeight="1" x14ac:dyDescent="0.2">
      <c r="A26" s="21">
        <v>0.64583333333333304</v>
      </c>
      <c r="B26" s="21">
        <v>0.66666666666666663</v>
      </c>
      <c r="C26" s="31"/>
      <c r="D26" s="32"/>
      <c r="E26" s="30"/>
      <c r="F26" s="137" t="s">
        <v>48</v>
      </c>
      <c r="G26" s="137"/>
      <c r="H26" s="137"/>
      <c r="I26" s="137"/>
      <c r="J26" s="137"/>
      <c r="K26" s="21">
        <v>0.64583333333333304</v>
      </c>
      <c r="L26" s="21">
        <v>0.66666666666666663</v>
      </c>
      <c r="M26" s="63"/>
      <c r="N26" s="69" t="s">
        <v>28</v>
      </c>
      <c r="O26" s="21">
        <v>0.64583333333333304</v>
      </c>
      <c r="P26" s="21">
        <v>0.66666666666666663</v>
      </c>
      <c r="Q26" s="19">
        <f t="shared" si="1"/>
        <v>2.0833333333333592E-2</v>
      </c>
      <c r="R26" s="10">
        <v>0.5</v>
      </c>
      <c r="S26" s="11">
        <v>5</v>
      </c>
      <c r="T26" s="10">
        <f t="shared" si="2"/>
        <v>2.5</v>
      </c>
      <c r="Y26" s="12"/>
    </row>
    <row r="27" spans="1:25" ht="19.5" customHeight="1" x14ac:dyDescent="0.2">
      <c r="A27" s="21">
        <v>0.66666666666666596</v>
      </c>
      <c r="B27" s="21">
        <v>0.6875</v>
      </c>
      <c r="C27" s="111"/>
      <c r="D27" s="113"/>
      <c r="E27" s="109"/>
      <c r="F27" s="127" t="s">
        <v>39</v>
      </c>
      <c r="G27" s="128"/>
      <c r="H27" s="128"/>
      <c r="I27" s="128"/>
      <c r="J27" s="129"/>
      <c r="K27" s="21">
        <v>0.66666666666666596</v>
      </c>
      <c r="L27" s="21">
        <v>0.6875</v>
      </c>
      <c r="M27" s="69" t="s">
        <v>25</v>
      </c>
      <c r="N27" s="71"/>
      <c r="O27" s="21">
        <v>0.66666666666666596</v>
      </c>
      <c r="P27" s="21">
        <v>0.6875</v>
      </c>
      <c r="Q27" s="19">
        <f t="shared" si="1"/>
        <v>2.0833333333334036E-2</v>
      </c>
      <c r="R27" s="10">
        <v>0.5</v>
      </c>
      <c r="S27" s="11">
        <v>5</v>
      </c>
      <c r="T27" s="10">
        <f t="shared" si="2"/>
        <v>2.5</v>
      </c>
    </row>
    <row r="28" spans="1:25" ht="20.100000000000001" customHeight="1" x14ac:dyDescent="0.2">
      <c r="A28" s="21">
        <v>0.687499999999999</v>
      </c>
      <c r="B28" s="21">
        <v>0.70833333333333337</v>
      </c>
      <c r="C28" s="112"/>
      <c r="D28" s="114"/>
      <c r="E28" s="110"/>
      <c r="F28" s="103"/>
      <c r="G28" s="104"/>
      <c r="H28" s="104"/>
      <c r="I28" s="104"/>
      <c r="J28" s="105"/>
      <c r="K28" s="21">
        <v>0.687499999999999</v>
      </c>
      <c r="L28" s="21">
        <v>0.70833333333333337</v>
      </c>
      <c r="M28" s="70"/>
      <c r="N28" s="69" t="s">
        <v>42</v>
      </c>
      <c r="O28" s="21">
        <v>0.6875</v>
      </c>
      <c r="P28" s="21">
        <v>0.70833333333333337</v>
      </c>
      <c r="Q28" s="19">
        <f t="shared" si="1"/>
        <v>2.083333333333337E-2</v>
      </c>
      <c r="R28" s="10">
        <v>0.5</v>
      </c>
      <c r="S28" s="11">
        <v>5</v>
      </c>
      <c r="T28" s="10">
        <f t="shared" si="2"/>
        <v>2.5</v>
      </c>
    </row>
    <row r="29" spans="1:25" ht="20.100000000000001" customHeight="1" x14ac:dyDescent="0.2">
      <c r="A29" s="21">
        <v>0.70833333333333304</v>
      </c>
      <c r="B29" s="21">
        <v>0.72916666666666663</v>
      </c>
      <c r="C29" s="28"/>
      <c r="D29" s="29"/>
      <c r="E29" s="30"/>
      <c r="F29" s="130" t="s">
        <v>47</v>
      </c>
      <c r="G29" s="131"/>
      <c r="H29" s="131"/>
      <c r="I29" s="131"/>
      <c r="J29" s="132"/>
      <c r="K29" s="21">
        <v>0.70833333333333304</v>
      </c>
      <c r="L29" s="38">
        <v>0.72916666666666663</v>
      </c>
      <c r="M29" s="70"/>
      <c r="N29" s="70"/>
      <c r="O29" s="21">
        <v>0.70833333333333304</v>
      </c>
      <c r="P29" s="21">
        <v>0.72916666666666663</v>
      </c>
      <c r="Q29" s="19">
        <f t="shared" si="1"/>
        <v>2.0833333333333592E-2</v>
      </c>
      <c r="R29" s="10">
        <v>0.5</v>
      </c>
      <c r="S29" s="11">
        <v>5</v>
      </c>
      <c r="T29" s="10">
        <f t="shared" si="2"/>
        <v>2.5</v>
      </c>
      <c r="V29" s="33"/>
    </row>
    <row r="30" spans="1:25" ht="20.100000000000001" customHeight="1" x14ac:dyDescent="0.2">
      <c r="A30" s="21">
        <v>0.72916666666666596</v>
      </c>
      <c r="B30" s="21">
        <v>0.75</v>
      </c>
      <c r="C30" s="31"/>
      <c r="D30" s="32"/>
      <c r="E30" s="30"/>
      <c r="F30" s="101" t="s">
        <v>12</v>
      </c>
      <c r="G30" s="101"/>
      <c r="H30" s="101"/>
      <c r="I30" s="101"/>
      <c r="J30" s="101"/>
      <c r="K30" s="21">
        <v>0.72916666666666596</v>
      </c>
      <c r="L30" s="38">
        <v>0.75</v>
      </c>
      <c r="M30" s="70"/>
      <c r="N30" s="70"/>
      <c r="O30" s="21">
        <v>0.72916666666666596</v>
      </c>
      <c r="P30" s="21">
        <v>0.75</v>
      </c>
      <c r="Q30" s="19">
        <f t="shared" si="1"/>
        <v>2.0833333333334036E-2</v>
      </c>
      <c r="R30" s="10">
        <v>0.5</v>
      </c>
      <c r="S30" s="11">
        <v>5</v>
      </c>
      <c r="T30" s="10">
        <f t="shared" si="2"/>
        <v>2.5</v>
      </c>
      <c r="V30" s="33"/>
    </row>
    <row r="31" spans="1:25" ht="20.100000000000001" customHeight="1" x14ac:dyDescent="0.2">
      <c r="A31" s="21">
        <v>0.749999999999999</v>
      </c>
      <c r="B31" s="21">
        <v>0.77083333333333337</v>
      </c>
      <c r="C31" s="111"/>
      <c r="D31" s="113"/>
      <c r="E31" s="109"/>
      <c r="F31" s="101"/>
      <c r="G31" s="101"/>
      <c r="H31" s="101"/>
      <c r="I31" s="101"/>
      <c r="J31" s="101"/>
      <c r="K31" s="21">
        <v>0.749999999999999</v>
      </c>
      <c r="L31" s="38">
        <v>0.77083333333333337</v>
      </c>
      <c r="M31" s="70"/>
      <c r="N31" s="71"/>
      <c r="O31" s="21">
        <v>0.75</v>
      </c>
      <c r="P31" s="21">
        <v>0.77083333333333337</v>
      </c>
      <c r="Q31" s="18"/>
      <c r="R31" s="6"/>
      <c r="S31" s="5"/>
      <c r="T31" s="6"/>
    </row>
    <row r="32" spans="1:25" ht="20.100000000000001" customHeight="1" x14ac:dyDescent="0.2">
      <c r="A32" s="21">
        <v>0.77083333333333304</v>
      </c>
      <c r="B32" s="21">
        <v>0.79166666666666663</v>
      </c>
      <c r="C32" s="112"/>
      <c r="D32" s="114"/>
      <c r="E32" s="110"/>
      <c r="F32" s="130" t="s">
        <v>50</v>
      </c>
      <c r="G32" s="131"/>
      <c r="H32" s="131"/>
      <c r="I32" s="131"/>
      <c r="J32" s="132"/>
      <c r="K32" s="21">
        <v>0.77083333333333304</v>
      </c>
      <c r="L32" s="38">
        <v>0.79166666666666663</v>
      </c>
      <c r="M32" s="71"/>
      <c r="N32" s="61" t="s">
        <v>43</v>
      </c>
      <c r="O32" s="21">
        <v>0.77083333333333304</v>
      </c>
      <c r="P32" s="21">
        <v>0.79166666666666663</v>
      </c>
      <c r="Q32" s="18"/>
      <c r="R32" s="6"/>
      <c r="S32" s="5"/>
      <c r="T32" s="6"/>
    </row>
    <row r="33" spans="1:22" ht="20.100000000000001" customHeight="1" x14ac:dyDescent="0.2">
      <c r="A33" s="21">
        <v>0.79166666666666663</v>
      </c>
      <c r="B33" s="21">
        <v>0.8125</v>
      </c>
      <c r="C33" s="111"/>
      <c r="D33" s="113"/>
      <c r="E33" s="109"/>
      <c r="F33" s="127" t="s">
        <v>6</v>
      </c>
      <c r="G33" s="73"/>
      <c r="H33" s="73"/>
      <c r="I33" s="73"/>
      <c r="J33" s="74"/>
      <c r="K33" s="21">
        <v>0.79166666666666663</v>
      </c>
      <c r="L33" s="38">
        <v>0.8125</v>
      </c>
      <c r="M33" s="62" t="s">
        <v>29</v>
      </c>
      <c r="N33" s="52" t="s">
        <v>22</v>
      </c>
      <c r="O33" s="21">
        <v>0.79166666666666663</v>
      </c>
      <c r="P33" s="21">
        <v>0.8125</v>
      </c>
      <c r="Q33" s="18"/>
      <c r="R33" s="6"/>
      <c r="S33" s="5"/>
      <c r="T33" s="6"/>
    </row>
    <row r="34" spans="1:22" ht="20.100000000000001" customHeight="1" x14ac:dyDescent="0.2">
      <c r="A34" s="21">
        <v>0.812499999999999</v>
      </c>
      <c r="B34" s="21">
        <v>0.83333333333333337</v>
      </c>
      <c r="C34" s="112"/>
      <c r="D34" s="114"/>
      <c r="E34" s="110"/>
      <c r="F34" s="75"/>
      <c r="G34" s="76"/>
      <c r="H34" s="76"/>
      <c r="I34" s="76"/>
      <c r="J34" s="77"/>
      <c r="K34" s="21">
        <v>0.812499999999999</v>
      </c>
      <c r="L34" s="38">
        <v>0.83333333333333337</v>
      </c>
      <c r="M34" s="63"/>
      <c r="N34" s="52" t="s">
        <v>44</v>
      </c>
      <c r="O34" s="21">
        <v>0.812499999999999</v>
      </c>
      <c r="P34" s="21">
        <v>0.83333333333333337</v>
      </c>
      <c r="Q34" s="18"/>
      <c r="R34" s="6"/>
      <c r="S34" s="5"/>
      <c r="T34" s="6"/>
    </row>
    <row r="35" spans="1:22" ht="20.100000000000001" customHeight="1" x14ac:dyDescent="0.2">
      <c r="A35" s="21">
        <v>0.83333333333333204</v>
      </c>
      <c r="B35" s="21">
        <v>0.85416666666666663</v>
      </c>
      <c r="C35" s="115"/>
      <c r="D35" s="113"/>
      <c r="E35" s="118"/>
      <c r="F35" s="72" t="s">
        <v>11</v>
      </c>
      <c r="G35" s="82"/>
      <c r="H35" s="82"/>
      <c r="I35" s="82"/>
      <c r="J35" s="83"/>
      <c r="K35" s="21">
        <v>0.83333333333333204</v>
      </c>
      <c r="L35" s="21">
        <v>0.85416666666666663</v>
      </c>
      <c r="M35" s="69" t="s">
        <v>12</v>
      </c>
      <c r="N35" s="69" t="s">
        <v>26</v>
      </c>
      <c r="O35" s="21">
        <v>0.83333333333333204</v>
      </c>
      <c r="P35" s="21">
        <v>0.85416666666666663</v>
      </c>
      <c r="Q35" s="18"/>
      <c r="R35" s="6"/>
      <c r="S35" s="5"/>
      <c r="T35" s="6"/>
    </row>
    <row r="36" spans="1:22" ht="20.100000000000001" customHeight="1" x14ac:dyDescent="0.2">
      <c r="A36" s="21">
        <v>0.85416666666666596</v>
      </c>
      <c r="B36" s="21">
        <v>0.875</v>
      </c>
      <c r="C36" s="122"/>
      <c r="D36" s="114"/>
      <c r="E36" s="123"/>
      <c r="F36" s="84"/>
      <c r="G36" s="85"/>
      <c r="H36" s="85"/>
      <c r="I36" s="85"/>
      <c r="J36" s="86"/>
      <c r="K36" s="21">
        <v>0.85416666666666596</v>
      </c>
      <c r="L36" s="21">
        <v>0.875</v>
      </c>
      <c r="M36" s="71"/>
      <c r="N36" s="71"/>
      <c r="O36" s="21">
        <v>0.85416666666666596</v>
      </c>
      <c r="P36" s="21">
        <v>0.875</v>
      </c>
      <c r="Q36" s="18"/>
      <c r="R36" s="6"/>
      <c r="S36" s="5"/>
      <c r="T36" s="6"/>
    </row>
    <row r="37" spans="1:22" ht="20.100000000000001" customHeight="1" x14ac:dyDescent="0.2">
      <c r="A37" s="21">
        <v>0.874999999999999</v>
      </c>
      <c r="B37" s="21">
        <v>0.89583333333333337</v>
      </c>
      <c r="C37" s="111"/>
      <c r="D37" s="113"/>
      <c r="E37" s="109"/>
      <c r="F37" s="72" t="s">
        <v>40</v>
      </c>
      <c r="G37" s="82"/>
      <c r="H37" s="82"/>
      <c r="I37" s="82"/>
      <c r="J37" s="83"/>
      <c r="K37" s="21">
        <v>0.874999999999999</v>
      </c>
      <c r="L37" s="21">
        <v>0.89583333333333337</v>
      </c>
      <c r="M37" s="69" t="s">
        <v>34</v>
      </c>
      <c r="N37" s="69" t="s">
        <v>36</v>
      </c>
      <c r="O37" s="21">
        <v>0.874999999999999</v>
      </c>
      <c r="P37" s="21">
        <v>0.89583333333333337</v>
      </c>
      <c r="Q37" s="18"/>
      <c r="R37" s="6"/>
      <c r="S37" s="5"/>
      <c r="T37" s="6"/>
    </row>
    <row r="38" spans="1:22" ht="22.5" customHeight="1" x14ac:dyDescent="0.2">
      <c r="A38" s="21">
        <v>0.89583333333333204</v>
      </c>
      <c r="B38" s="21">
        <v>0.91666666666666663</v>
      </c>
      <c r="C38" s="124"/>
      <c r="D38" s="117"/>
      <c r="E38" s="120"/>
      <c r="F38" s="106"/>
      <c r="G38" s="107"/>
      <c r="H38" s="107"/>
      <c r="I38" s="107"/>
      <c r="J38" s="108"/>
      <c r="K38" s="21">
        <v>0.89583333333333204</v>
      </c>
      <c r="L38" s="21">
        <v>0.91666666666666663</v>
      </c>
      <c r="M38" s="71"/>
      <c r="N38" s="71"/>
      <c r="O38" s="21">
        <v>0.89583333333333204</v>
      </c>
      <c r="P38" s="21">
        <v>0.91666666666666663</v>
      </c>
      <c r="Q38" s="18"/>
      <c r="R38" s="6"/>
      <c r="S38" s="5"/>
      <c r="T38" s="6"/>
      <c r="V38" s="33"/>
    </row>
    <row r="39" spans="1:22" ht="20.100000000000001" customHeight="1" x14ac:dyDescent="0.2">
      <c r="A39" s="21">
        <v>0.91666666666666596</v>
      </c>
      <c r="B39" s="21">
        <v>0.9375</v>
      </c>
      <c r="C39" s="124"/>
      <c r="D39" s="117"/>
      <c r="E39" s="120"/>
      <c r="F39" s="69" t="s">
        <v>28</v>
      </c>
      <c r="G39" s="69" t="s">
        <v>27</v>
      </c>
      <c r="H39" s="69" t="s">
        <v>28</v>
      </c>
      <c r="I39" s="69" t="s">
        <v>9</v>
      </c>
      <c r="J39" s="69" t="s">
        <v>29</v>
      </c>
      <c r="K39" s="21">
        <v>0.91666666666666596</v>
      </c>
      <c r="L39" s="21">
        <v>0.9375</v>
      </c>
      <c r="M39" s="58" t="s">
        <v>10</v>
      </c>
      <c r="N39" s="101" t="s">
        <v>27</v>
      </c>
      <c r="O39" s="21">
        <v>0.91666666666666596</v>
      </c>
      <c r="P39" s="21">
        <v>0.9375</v>
      </c>
      <c r="Q39" s="18"/>
      <c r="R39" s="6"/>
      <c r="S39" s="5"/>
      <c r="T39" s="6"/>
      <c r="V39" s="33"/>
    </row>
    <row r="40" spans="1:22" ht="20.100000000000001" customHeight="1" thickBot="1" x14ac:dyDescent="0.25">
      <c r="A40" s="21">
        <v>0.937499999999999</v>
      </c>
      <c r="B40" s="21">
        <v>0.95833333333333337</v>
      </c>
      <c r="C40" s="125"/>
      <c r="D40" s="126"/>
      <c r="E40" s="121"/>
      <c r="F40" s="71"/>
      <c r="G40" s="71"/>
      <c r="H40" s="71"/>
      <c r="I40" s="71"/>
      <c r="J40" s="71"/>
      <c r="K40" s="21">
        <v>0.937499999999999</v>
      </c>
      <c r="L40" s="21">
        <v>0.95833333333333337</v>
      </c>
      <c r="M40" s="99" t="s">
        <v>9</v>
      </c>
      <c r="N40" s="101"/>
      <c r="O40" s="21">
        <v>0.937499999999999</v>
      </c>
      <c r="P40" s="21">
        <v>0.95833333333333337</v>
      </c>
      <c r="Q40" s="18"/>
      <c r="R40" s="6"/>
      <c r="S40" s="5"/>
      <c r="T40" s="6"/>
      <c r="V40" s="33"/>
    </row>
    <row r="41" spans="1:22" ht="20.100000000000001" customHeight="1" x14ac:dyDescent="0.2">
      <c r="A41" s="21">
        <v>0.95833333333333204</v>
      </c>
      <c r="B41" s="21">
        <v>0.97916666666666663</v>
      </c>
      <c r="C41" s="46"/>
      <c r="D41" s="47"/>
      <c r="E41" s="49"/>
      <c r="F41" s="101" t="s">
        <v>17</v>
      </c>
      <c r="G41" s="102"/>
      <c r="H41" s="102"/>
      <c r="I41" s="102"/>
      <c r="J41" s="102"/>
      <c r="K41" s="21">
        <v>0.95833333333333204</v>
      </c>
      <c r="L41" s="21">
        <v>0.97916666666666663</v>
      </c>
      <c r="M41" s="100"/>
      <c r="N41" s="101"/>
      <c r="O41" s="21">
        <v>0.95833333333333204</v>
      </c>
      <c r="P41" s="21">
        <v>0.97916666666666663</v>
      </c>
      <c r="Q41" s="18"/>
      <c r="R41" s="6"/>
      <c r="S41" s="5"/>
      <c r="T41" s="6"/>
      <c r="V41" s="33"/>
    </row>
    <row r="42" spans="1:22" ht="19.5" customHeight="1" x14ac:dyDescent="0.2">
      <c r="A42" s="21">
        <v>0.97916666666666496</v>
      </c>
      <c r="B42" s="21">
        <v>1</v>
      </c>
      <c r="C42" s="28"/>
      <c r="D42" s="29"/>
      <c r="E42" s="30"/>
      <c r="F42" s="101" t="s">
        <v>7</v>
      </c>
      <c r="G42" s="102"/>
      <c r="H42" s="102"/>
      <c r="I42" s="102"/>
      <c r="J42" s="102"/>
      <c r="K42" s="21">
        <v>0.97916666666666496</v>
      </c>
      <c r="L42" s="21">
        <v>0</v>
      </c>
      <c r="M42" s="50" t="s">
        <v>20</v>
      </c>
      <c r="N42" s="60" t="s">
        <v>45</v>
      </c>
      <c r="O42" s="21">
        <v>0.97916666666666496</v>
      </c>
      <c r="P42" s="21">
        <v>0</v>
      </c>
      <c r="Q42" s="18"/>
      <c r="R42" s="6"/>
      <c r="S42" s="5"/>
      <c r="T42" s="6"/>
      <c r="V42" s="33"/>
    </row>
    <row r="43" spans="1:22" ht="19.5" customHeight="1" x14ac:dyDescent="0.2">
      <c r="A43" s="21">
        <v>1</v>
      </c>
      <c r="B43" s="35">
        <v>0.22916666666666666</v>
      </c>
      <c r="C43" s="21">
        <v>0.25</v>
      </c>
      <c r="D43" s="21">
        <v>0.25</v>
      </c>
      <c r="E43" s="37"/>
      <c r="F43" s="103" t="s">
        <v>2</v>
      </c>
      <c r="G43" s="104"/>
      <c r="H43" s="104"/>
      <c r="I43" s="104"/>
      <c r="J43" s="105"/>
      <c r="K43" s="36">
        <v>0.999999999999998</v>
      </c>
      <c r="L43" s="35">
        <v>0.22916666666666666</v>
      </c>
      <c r="M43" s="61" t="s">
        <v>2</v>
      </c>
      <c r="N43" s="58" t="s">
        <v>2</v>
      </c>
      <c r="O43" s="21">
        <v>0</v>
      </c>
      <c r="P43" s="35">
        <v>0.22916666666666666</v>
      </c>
      <c r="Q43" s="20"/>
      <c r="R43" s="8">
        <f>SUM(R19:R30)</f>
        <v>5.75</v>
      </c>
      <c r="S43" s="9">
        <v>5</v>
      </c>
      <c r="T43" s="8">
        <f>R43*S43</f>
        <v>28.75</v>
      </c>
    </row>
    <row r="44" spans="1:22" ht="15" customHeight="1" x14ac:dyDescent="0.2">
      <c r="F44" s="42"/>
      <c r="G44" s="42"/>
      <c r="H44" s="42"/>
      <c r="I44" s="42"/>
      <c r="J44" s="42"/>
    </row>
    <row r="45" spans="1:22" ht="15" customHeight="1" x14ac:dyDescent="0.2">
      <c r="A45" s="3"/>
      <c r="B45" s="3"/>
      <c r="C45" s="3"/>
      <c r="D45" s="3"/>
      <c r="E45" s="3"/>
      <c r="F45" s="3"/>
      <c r="N45" s="97"/>
      <c r="O45" s="98"/>
      <c r="T45" s="4" t="e">
        <f>SUM(#REF!,#REF!,T43)</f>
        <v>#REF!</v>
      </c>
    </row>
    <row r="46" spans="1:22" x14ac:dyDescent="0.2">
      <c r="F46" s="3"/>
      <c r="N46" s="97"/>
      <c r="O46" s="98"/>
    </row>
    <row r="47" spans="1:22" ht="15" customHeight="1" x14ac:dyDescent="0.2">
      <c r="F47" s="3"/>
      <c r="M47" s="1"/>
    </row>
    <row r="48" spans="1:22" x14ac:dyDescent="0.2">
      <c r="F48" s="3"/>
    </row>
    <row r="49" spans="6:14" x14ac:dyDescent="0.2">
      <c r="F49" s="3"/>
    </row>
    <row r="50" spans="6:14" x14ac:dyDescent="0.2">
      <c r="F50" s="3"/>
    </row>
    <row r="58" spans="6:14" x14ac:dyDescent="0.2">
      <c r="M58" s="1"/>
      <c r="N58" s="1"/>
    </row>
    <row r="59" spans="6:14" x14ac:dyDescent="0.2">
      <c r="M59" s="1"/>
      <c r="N59" s="1"/>
    </row>
    <row r="60" spans="6:14" x14ac:dyDescent="0.2">
      <c r="M60" s="1"/>
      <c r="N60" s="1"/>
    </row>
    <row r="61" spans="6:14" x14ac:dyDescent="0.2">
      <c r="M61" s="1"/>
      <c r="N61" s="1"/>
    </row>
    <row r="62" spans="6:14" x14ac:dyDescent="0.2">
      <c r="M62" s="1"/>
      <c r="N62" s="1"/>
    </row>
    <row r="63" spans="6:14" x14ac:dyDescent="0.2">
      <c r="M63" s="1"/>
      <c r="N63" s="1"/>
    </row>
    <row r="64" spans="6:14" x14ac:dyDescent="0.2">
      <c r="M64" s="1"/>
      <c r="N64" s="1"/>
    </row>
    <row r="65" spans="13:14" x14ac:dyDescent="0.2">
      <c r="M65" s="1"/>
      <c r="N65" s="1"/>
    </row>
    <row r="66" spans="13:14" x14ac:dyDescent="0.2">
      <c r="M66" s="1"/>
      <c r="N66" s="1"/>
    </row>
  </sheetData>
  <mergeCells count="78">
    <mergeCell ref="N28:N31"/>
    <mergeCell ref="N35:N36"/>
    <mergeCell ref="N37:N38"/>
    <mergeCell ref="N39:N41"/>
    <mergeCell ref="N20:N22"/>
    <mergeCell ref="N24:N25"/>
    <mergeCell ref="F6:J6"/>
    <mergeCell ref="F18:J18"/>
    <mergeCell ref="F35:J36"/>
    <mergeCell ref="F19:J19"/>
    <mergeCell ref="F22:J22"/>
    <mergeCell ref="F30:J31"/>
    <mergeCell ref="F13:J13"/>
    <mergeCell ref="F7:J7"/>
    <mergeCell ref="F33:J34"/>
    <mergeCell ref="F20:J20"/>
    <mergeCell ref="F21:J21"/>
    <mergeCell ref="F14:J15"/>
    <mergeCell ref="F26:J26"/>
    <mergeCell ref="F25:J25"/>
    <mergeCell ref="F32:J32"/>
    <mergeCell ref="C33:C34"/>
    <mergeCell ref="D33:D34"/>
    <mergeCell ref="E33:E34"/>
    <mergeCell ref="F27:J28"/>
    <mergeCell ref="F29:J29"/>
    <mergeCell ref="E37:E40"/>
    <mergeCell ref="C35:C36"/>
    <mergeCell ref="D35:D36"/>
    <mergeCell ref="E35:E36"/>
    <mergeCell ref="C37:C40"/>
    <mergeCell ref="D37:D40"/>
    <mergeCell ref="A5:B5"/>
    <mergeCell ref="E27:E28"/>
    <mergeCell ref="C31:C32"/>
    <mergeCell ref="D31:D32"/>
    <mergeCell ref="E31:E32"/>
    <mergeCell ref="C27:C28"/>
    <mergeCell ref="D27:D28"/>
    <mergeCell ref="C6:C8"/>
    <mergeCell ref="D6:D8"/>
    <mergeCell ref="E6:E8"/>
    <mergeCell ref="N45:O46"/>
    <mergeCell ref="M40:M41"/>
    <mergeCell ref="M35:M36"/>
    <mergeCell ref="M37:M38"/>
    <mergeCell ref="F41:J41"/>
    <mergeCell ref="F42:J42"/>
    <mergeCell ref="F39:F40"/>
    <mergeCell ref="G39:G40"/>
    <mergeCell ref="J39:J40"/>
    <mergeCell ref="F43:J43"/>
    <mergeCell ref="H39:H40"/>
    <mergeCell ref="I39:I40"/>
    <mergeCell ref="F37:J38"/>
    <mergeCell ref="F1:P1"/>
    <mergeCell ref="F2:P2"/>
    <mergeCell ref="K5:L5"/>
    <mergeCell ref="F3:P4"/>
    <mergeCell ref="O5:P5"/>
    <mergeCell ref="N15:N16"/>
    <mergeCell ref="M7:M8"/>
    <mergeCell ref="N26:N27"/>
    <mergeCell ref="F9:J10"/>
    <mergeCell ref="F11:J11"/>
    <mergeCell ref="M11:M14"/>
    <mergeCell ref="N17:N19"/>
    <mergeCell ref="F23:J24"/>
    <mergeCell ref="F16:J16"/>
    <mergeCell ref="F17:J17"/>
    <mergeCell ref="M16:M18"/>
    <mergeCell ref="N11:N14"/>
    <mergeCell ref="N7:N8"/>
    <mergeCell ref="M33:M34"/>
    <mergeCell ref="M25:M26"/>
    <mergeCell ref="M22:M24"/>
    <mergeCell ref="M19:M21"/>
    <mergeCell ref="M27:M32"/>
  </mergeCells>
  <pageMargins left="0.39370078740157483" right="0.23622047244094491" top="0.74803149606299213" bottom="1.6929133858267718" header="0.31496062992125984" footer="1.6535433070866143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Vasconez</dc:creator>
  <cp:lastModifiedBy>Karina Vasconez</cp:lastModifiedBy>
  <cp:lastPrinted>2025-11-21T15:59:11Z</cp:lastPrinted>
  <dcterms:created xsi:type="dcterms:W3CDTF">2017-01-20T14:43:51Z</dcterms:created>
  <dcterms:modified xsi:type="dcterms:W3CDTF">2025-12-29T14:43:05Z</dcterms:modified>
</cp:coreProperties>
</file>